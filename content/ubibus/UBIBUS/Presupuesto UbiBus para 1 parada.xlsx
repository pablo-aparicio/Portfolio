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pm365.sharepoint.com/sites/MobilityChallenge/Documentos compartidos/General/"/>
    </mc:Choice>
  </mc:AlternateContent>
  <xr:revisionPtr revIDLastSave="937" documentId="8_{AD58DBB4-82B8-4043-A365-E4C576B86818}" xr6:coauthVersionLast="47" xr6:coauthVersionMax="47" xr10:uidLastSave="{A5B4665D-322E-4DC9-A8F3-DF5CEDF937D5}"/>
  <bookViews>
    <workbookView xWindow="-120" yWindow="-120" windowWidth="20730" windowHeight="11160" firstSheet="3" activeTab="3" xr2:uid="{24DCF110-308E-4721-8BB2-29CFA6A2DEAA}"/>
  </bookViews>
  <sheets>
    <sheet name="Partes" sheetId="1" r:id="rId1"/>
    <sheet name="Procesos" sheetId="2" r:id="rId2"/>
    <sheet name="Timeline" sheetId="3" r:id="rId3"/>
    <sheet name="Final Estimat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" l="1"/>
  <c r="S20" i="4"/>
  <c r="R22" i="4"/>
  <c r="H8" i="4"/>
  <c r="I8" i="4" s="1"/>
  <c r="R24" i="4" s="1"/>
  <c r="S24" i="4" s="1"/>
  <c r="H4" i="4"/>
  <c r="I4" i="4" s="1"/>
  <c r="I12" i="4"/>
  <c r="R23" i="4" s="1"/>
  <c r="S23" i="4" s="1"/>
  <c r="H13" i="4"/>
  <c r="I13" i="4" s="1"/>
  <c r="H7" i="4"/>
  <c r="I7" i="4" s="1"/>
  <c r="R25" i="4" s="1"/>
  <c r="S25" i="4" s="1"/>
  <c r="P29" i="4"/>
  <c r="S26" i="4"/>
  <c r="S22" i="4"/>
  <c r="I10" i="4"/>
  <c r="R21" i="4" s="1"/>
  <c r="S21" i="4" s="1"/>
  <c r="I6" i="4"/>
  <c r="I14" i="2"/>
  <c r="I13" i="2"/>
  <c r="J11" i="2"/>
  <c r="J5" i="2"/>
  <c r="I7" i="2"/>
  <c r="J7" i="2" s="1"/>
  <c r="G14" i="2"/>
  <c r="G11" i="1"/>
  <c r="H11" i="1" s="1"/>
  <c r="H10" i="1"/>
  <c r="I8" i="2" s="1"/>
  <c r="J8" i="2" s="1"/>
  <c r="H12" i="1"/>
  <c r="I6" i="2" s="1"/>
  <c r="J6" i="2" s="1"/>
  <c r="H9" i="1"/>
  <c r="G7" i="1"/>
  <c r="H7" i="1" s="1"/>
  <c r="I12" i="2" s="1"/>
  <c r="J12" i="2" s="1"/>
  <c r="G5" i="1"/>
  <c r="H5" i="1" s="1"/>
  <c r="I10" i="2" s="1"/>
  <c r="J10" i="2" s="1"/>
  <c r="G6" i="1"/>
  <c r="H6" i="1" s="1"/>
  <c r="I9" i="2" s="1"/>
  <c r="J9" i="2" s="1"/>
  <c r="R28" i="4" l="1"/>
  <c r="S28" i="4" s="1"/>
  <c r="I16" i="4"/>
  <c r="R27" i="4"/>
  <c r="S27" i="4" s="1"/>
  <c r="R29" i="4"/>
  <c r="J13" i="2"/>
  <c r="J14" i="2" s="1"/>
  <c r="H17" i="1"/>
  <c r="S29" i="4" l="1"/>
  <c r="L5" i="4" s="1"/>
  <c r="L8" i="4" s="1"/>
</calcChain>
</file>

<file path=xl/sharedStrings.xml><?xml version="1.0" encoding="utf-8"?>
<sst xmlns="http://schemas.openxmlformats.org/spreadsheetml/2006/main" count="221" uniqueCount="162">
  <si>
    <t>Materials' estimations</t>
  </si>
  <si>
    <t>Part code</t>
  </si>
  <si>
    <t>Part</t>
  </si>
  <si>
    <t>Material/Model</t>
  </si>
  <si>
    <t>Quantity</t>
  </si>
  <si>
    <t>Units</t>
  </si>
  <si>
    <t>Price</t>
  </si>
  <si>
    <t>Cost/unit</t>
  </si>
  <si>
    <t>Total cost/ bus stop</t>
  </si>
  <si>
    <t>Case</t>
  </si>
  <si>
    <t>HDPE</t>
  </si>
  <si>
    <t>0,2 m^2</t>
  </si>
  <si>
    <t>60 €/m^2</t>
  </si>
  <si>
    <t>Transparent frontside</t>
  </si>
  <si>
    <t>PC</t>
  </si>
  <si>
    <t>0,1 m^2</t>
  </si>
  <si>
    <r>
      <t xml:space="preserve">50 </t>
    </r>
    <r>
      <rPr>
        <sz val="11"/>
        <color theme="1"/>
        <rFont val="Aptos Narrow"/>
        <family val="2"/>
      </rPr>
      <t>€</t>
    </r>
    <r>
      <rPr>
        <sz val="11"/>
        <color theme="1"/>
        <rFont val="Aptos Narrow"/>
        <family val="2"/>
        <scheme val="minor"/>
      </rPr>
      <t>/m^2</t>
    </r>
  </si>
  <si>
    <t>Information paper</t>
  </si>
  <si>
    <t>Coated paper 200 g/m^2</t>
  </si>
  <si>
    <t>7 €/m^2</t>
  </si>
  <si>
    <t>Screen</t>
  </si>
  <si>
    <t>Bar screen led</t>
  </si>
  <si>
    <t>8 cm*40 cm</t>
  </si>
  <si>
    <t>200 €/unit</t>
  </si>
  <si>
    <t>Motherboard</t>
  </si>
  <si>
    <t>Raspberry Pi/ ESP32</t>
  </si>
  <si>
    <t>Solar panel</t>
  </si>
  <si>
    <t>Coolwell for Raspberry</t>
  </si>
  <si>
    <t>Battery</t>
  </si>
  <si>
    <t>18650 Li-Ion</t>
  </si>
  <si>
    <t>2 cells</t>
  </si>
  <si>
    <r>
      <t>6</t>
    </r>
    <r>
      <rPr>
        <sz val="11"/>
        <color theme="1"/>
        <rFont val="Aptos Narrow"/>
        <family val="2"/>
      </rPr>
      <t>€/cell</t>
    </r>
  </si>
  <si>
    <t>Power supply conector</t>
  </si>
  <si>
    <t>5 V y 2/3 A</t>
  </si>
  <si>
    <t>10€/unit</t>
  </si>
  <si>
    <t>Cables and other conectors</t>
  </si>
  <si>
    <t>-</t>
  </si>
  <si>
    <t>PCB (comprobations)</t>
  </si>
  <si>
    <t>Screws/fasteners</t>
  </si>
  <si>
    <t>Speaker</t>
  </si>
  <si>
    <t>3W</t>
  </si>
  <si>
    <t>TOTAL FOR MATERIALS</t>
  </si>
  <si>
    <t>Process' estimations</t>
  </si>
  <si>
    <t>(Description)</t>
  </si>
  <si>
    <t>Level</t>
  </si>
  <si>
    <t>Sublevel</t>
  </si>
  <si>
    <t>Operations</t>
  </si>
  <si>
    <t>Required material</t>
  </si>
  <si>
    <t>Time (min)</t>
  </si>
  <si>
    <t>Cost/hour (worker)</t>
  </si>
  <si>
    <t>Material-related costs</t>
  </si>
  <si>
    <t>Total costs (1 module per bus stop)</t>
  </si>
  <si>
    <t>Final assembly</t>
  </si>
  <si>
    <t>N1</t>
  </si>
  <si>
    <t>Fastening the finished module to the bus stop</t>
  </si>
  <si>
    <t>N2.1</t>
  </si>
  <si>
    <t>Ubibus Power supply</t>
  </si>
  <si>
    <t>N2</t>
  </si>
  <si>
    <t>Electrical grid+case connections</t>
  </si>
  <si>
    <t>N2.2+8</t>
  </si>
  <si>
    <t>Solar panel+battery connections</t>
  </si>
  <si>
    <t>N2.3+N3.1+9</t>
  </si>
  <si>
    <t>Solar panel fastening</t>
  </si>
  <si>
    <t>6+11</t>
  </si>
  <si>
    <t>Ubibus module creation</t>
  </si>
  <si>
    <t>N3</t>
  </si>
  <si>
    <t>Case assembling</t>
  </si>
  <si>
    <t>N3.2+2+11</t>
  </si>
  <si>
    <t>Setting everything in the case</t>
  </si>
  <si>
    <t>N3.3 + 1</t>
  </si>
  <si>
    <t>Paper+screen assembling</t>
  </si>
  <si>
    <t>N3.4 + N3.5</t>
  </si>
  <si>
    <t>Paper cutting</t>
  </si>
  <si>
    <t>Motherboard+screen+battery+speaker connections</t>
  </si>
  <si>
    <t>4+5+7+9+10+12</t>
  </si>
  <si>
    <t>Phases</t>
  </si>
  <si>
    <t>Phase 1</t>
  </si>
  <si>
    <t>Phase 2</t>
  </si>
  <si>
    <t>Phase 3</t>
  </si>
  <si>
    <t>Description</t>
  </si>
  <si>
    <t>Final design specification</t>
  </si>
  <si>
    <t>Functional prototype demonstration and first bus line installation</t>
  </si>
  <si>
    <t>Data collection</t>
  </si>
  <si>
    <t>Results and impact analysis</t>
  </si>
  <si>
    <t>Design improvements</t>
  </si>
  <si>
    <t>New product version development</t>
  </si>
  <si>
    <t>More bus lines installation</t>
  </si>
  <si>
    <t>Complete city coverage</t>
  </si>
  <si>
    <t>New results analysis</t>
  </si>
  <si>
    <t>Creation of more versions of the product, adapted to diferent cities needs</t>
  </si>
  <si>
    <t>New cities expansion</t>
  </si>
  <si>
    <t>Time</t>
  </si>
  <si>
    <t>1 month</t>
  </si>
  <si>
    <t>2 months</t>
  </si>
  <si>
    <t>4 months</t>
  </si>
  <si>
    <t>3 months</t>
  </si>
  <si>
    <t>6 months</t>
  </si>
  <si>
    <t>8 months</t>
  </si>
  <si>
    <t>Materiales</t>
  </si>
  <si>
    <t>Código</t>
  </si>
  <si>
    <t>Parte</t>
  </si>
  <si>
    <t>Material/Modelo</t>
  </si>
  <si>
    <t>Cantidad</t>
  </si>
  <si>
    <t>Uds</t>
  </si>
  <si>
    <t>Precio</t>
  </si>
  <si>
    <t>Precio/ud</t>
  </si>
  <si>
    <t>Coste/módulo</t>
  </si>
  <si>
    <t>Premio</t>
  </si>
  <si>
    <t>Póster informativo</t>
  </si>
  <si>
    <t>Papel cuché impreso 200 g/m^2</t>
  </si>
  <si>
    <t>0,5 m^2</t>
  </si>
  <si>
    <t>20 €/m^2</t>
  </si>
  <si>
    <t>Premio Neto</t>
  </si>
  <si>
    <t>Pantalla</t>
  </si>
  <si>
    <t>Pantalla LED</t>
  </si>
  <si>
    <t>300 €/unidad</t>
  </si>
  <si>
    <t>Placa base</t>
  </si>
  <si>
    <t>Coste 10 módulos</t>
  </si>
  <si>
    <t>Carcasa</t>
  </si>
  <si>
    <t>Aluminio</t>
  </si>
  <si>
    <t>1 kg</t>
  </si>
  <si>
    <t>5 €/kg</t>
  </si>
  <si>
    <t>Sistema ubicación</t>
  </si>
  <si>
    <t>Panel transparente protector</t>
  </si>
  <si>
    <t>Software/programación</t>
  </si>
  <si>
    <t>Altavoz</t>
  </si>
  <si>
    <t>Resto</t>
  </si>
  <si>
    <t>Fuente de alimentación</t>
  </si>
  <si>
    <t>Conectores y accesorios eléctricos</t>
  </si>
  <si>
    <t>Panel solar</t>
  </si>
  <si>
    <t>Batería</t>
  </si>
  <si>
    <t>Tornillos/sujeciones</t>
  </si>
  <si>
    <t>Protoboard</t>
  </si>
  <si>
    <t>(Descripción)</t>
  </si>
  <si>
    <t>Nivel</t>
  </si>
  <si>
    <t>Subnivel</t>
  </si>
  <si>
    <t>Operaciones</t>
  </si>
  <si>
    <t>Material requirido</t>
  </si>
  <si>
    <t>Tiempo (min)</t>
  </si>
  <si>
    <t>Coste/hora (mano de obra)</t>
  </si>
  <si>
    <t>Costes del material</t>
  </si>
  <si>
    <t>Coste/ parada</t>
  </si>
  <si>
    <t>Ensamblaje final</t>
  </si>
  <si>
    <t>Colocar y sujetar el módulo completo en la parada</t>
  </si>
  <si>
    <t>Alimentación eléctrica</t>
  </si>
  <si>
    <t>Conectar carcasa a la red</t>
  </si>
  <si>
    <t>N2.2+7</t>
  </si>
  <si>
    <t>Conectar paneles y carcasa</t>
  </si>
  <si>
    <t>N2.3+N3.1+8</t>
  </si>
  <si>
    <t>Sujetar paneles solares a parada</t>
  </si>
  <si>
    <t>9+11</t>
  </si>
  <si>
    <t>Creación del módulo de ubibus</t>
  </si>
  <si>
    <t>Montar carcasa</t>
  </si>
  <si>
    <t>N3.2+5+11</t>
  </si>
  <si>
    <t>Meter todo en la carcasa</t>
  </si>
  <si>
    <t>N3.3 + 4</t>
  </si>
  <si>
    <t>Ensamblar poster + pantalla</t>
  </si>
  <si>
    <t>Recortar poster</t>
  </si>
  <si>
    <t>Conectar placa base + pantalla + batería + altavoz</t>
  </si>
  <si>
    <t>3+2+10+6</t>
  </si>
  <si>
    <t>TOTAL MATERIALES</t>
  </si>
  <si>
    <t>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</si>
</sst>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 applyAlignment="1">
      <alignment horizontal="righ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/>
    </xf>
    <xf numFmtId="44" fontId="0" fillId="4" borderId="1" xfId="1" applyFont="1" applyFill="1" applyBorder="1" applyAlignment="1">
      <alignment horizontal="right"/>
    </xf>
    <xf numFmtId="44" fontId="0" fillId="4" borderId="6" xfId="1" applyFont="1" applyFill="1" applyBorder="1" applyAlignment="1">
      <alignment horizontal="right"/>
    </xf>
    <xf numFmtId="6" fontId="0" fillId="4" borderId="1" xfId="0" applyNumberFormat="1" applyFill="1" applyBorder="1" applyAlignment="1">
      <alignment horizontal="right"/>
    </xf>
    <xf numFmtId="44" fontId="0" fillId="5" borderId="12" xfId="1" applyFont="1" applyFill="1" applyBorder="1" applyAlignment="1">
      <alignment horizontal="right"/>
    </xf>
    <xf numFmtId="0" fontId="0" fillId="4" borderId="1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left" vertical="center"/>
    </xf>
    <xf numFmtId="44" fontId="1" fillId="8" borderId="19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44" fontId="0" fillId="8" borderId="1" xfId="0" applyNumberFormat="1" applyFill="1" applyBorder="1" applyAlignment="1">
      <alignment horizontal="left" vertical="center"/>
    </xf>
    <xf numFmtId="44" fontId="1" fillId="8" borderId="6" xfId="0" applyNumberFormat="1" applyFont="1" applyFill="1" applyBorder="1" applyAlignment="1">
      <alignment horizontal="left" vertical="center"/>
    </xf>
    <xf numFmtId="44" fontId="0" fillId="8" borderId="8" xfId="0" applyNumberFormat="1" applyFill="1" applyBorder="1" applyAlignment="1">
      <alignment horizontal="left" vertical="center"/>
    </xf>
    <xf numFmtId="44" fontId="1" fillId="8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8" borderId="18" xfId="1" applyFont="1" applyFill="1" applyBorder="1" applyAlignment="1">
      <alignment horizontal="right" vertical="center"/>
    </xf>
    <xf numFmtId="44" fontId="0" fillId="8" borderId="1" xfId="1" applyFont="1" applyFill="1" applyBorder="1" applyAlignment="1">
      <alignment horizontal="right" vertical="center"/>
    </xf>
    <xf numFmtId="44" fontId="0" fillId="8" borderId="8" xfId="1" applyFont="1" applyFill="1" applyBorder="1" applyAlignment="1">
      <alignment horizontal="right" vertical="center"/>
    </xf>
    <xf numFmtId="44" fontId="0" fillId="9" borderId="20" xfId="1" applyFont="1" applyFill="1" applyBorder="1" applyAlignment="1">
      <alignment horizontal="left" vertical="center"/>
    </xf>
    <xf numFmtId="44" fontId="1" fillId="9" borderId="13" xfId="1" applyFont="1" applyFill="1" applyBorder="1" applyAlignment="1">
      <alignment horizontal="left" vertical="center"/>
    </xf>
    <xf numFmtId="0" fontId="1" fillId="8" borderId="18" xfId="0" applyFont="1" applyFill="1" applyBorder="1" applyAlignment="1">
      <alignment horizontal="left" vertical="center" wrapText="1"/>
    </xf>
    <xf numFmtId="0" fontId="0" fillId="9" borderId="13" xfId="0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12" borderId="28" xfId="0" applyFill="1" applyBorder="1"/>
    <xf numFmtId="0" fontId="0" fillId="12" borderId="0" xfId="0" applyFill="1"/>
    <xf numFmtId="0" fontId="0" fillId="15" borderId="28" xfId="0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 wrapText="1"/>
    </xf>
    <xf numFmtId="0" fontId="8" fillId="7" borderId="29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31" xfId="0" applyFill="1" applyBorder="1" applyAlignment="1">
      <alignment horizontal="right"/>
    </xf>
    <xf numFmtId="0" fontId="3" fillId="2" borderId="25" xfId="0" applyFont="1" applyFill="1" applyBorder="1"/>
    <xf numFmtId="0" fontId="3" fillId="2" borderId="32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33" xfId="0" applyFont="1" applyFill="1" applyBorder="1"/>
    <xf numFmtId="44" fontId="0" fillId="4" borderId="34" xfId="1" applyFont="1" applyFill="1" applyBorder="1" applyAlignment="1">
      <alignment horizontal="right"/>
    </xf>
    <xf numFmtId="0" fontId="0" fillId="4" borderId="35" xfId="0" applyFill="1" applyBorder="1" applyAlignment="1">
      <alignment horizontal="center"/>
    </xf>
    <xf numFmtId="0" fontId="1" fillId="8" borderId="8" xfId="0" applyFont="1" applyFill="1" applyBorder="1" applyAlignment="1">
      <alignment horizontal="left" vertical="center" wrapText="1"/>
    </xf>
    <xf numFmtId="44" fontId="0" fillId="4" borderId="31" xfId="1" applyFont="1" applyFill="1" applyBorder="1" applyAlignment="1">
      <alignment horizontal="right"/>
    </xf>
    <xf numFmtId="0" fontId="0" fillId="4" borderId="36" xfId="0" applyFill="1" applyBorder="1" applyAlignment="1">
      <alignment horizontal="center"/>
    </xf>
    <xf numFmtId="0" fontId="1" fillId="3" borderId="17" xfId="0" applyFont="1" applyFill="1" applyBorder="1"/>
    <xf numFmtId="0" fontId="0" fillId="4" borderId="18" xfId="0" applyFill="1" applyBorder="1" applyAlignment="1">
      <alignment horizontal="right"/>
    </xf>
    <xf numFmtId="0" fontId="1" fillId="0" borderId="0" xfId="0" applyFont="1"/>
    <xf numFmtId="6" fontId="0" fillId="0" borderId="0" xfId="0" applyNumberFormat="1" applyAlignment="1">
      <alignment horizontal="right"/>
    </xf>
    <xf numFmtId="44" fontId="0" fillId="0" borderId="0" xfId="1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6" fillId="10" borderId="21" xfId="0" applyFont="1" applyFill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/>
    </xf>
    <xf numFmtId="0" fontId="7" fillId="10" borderId="22" xfId="0" applyFont="1" applyFill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7" fillId="6" borderId="26" xfId="0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8" fillId="14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3" fillId="6" borderId="28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0" fillId="12" borderId="29" xfId="0" applyFill="1" applyBorder="1" applyAlignment="1">
      <alignment horizontal="center"/>
    </xf>
    <xf numFmtId="0" fontId="8" fillId="7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4" borderId="29" xfId="0" applyFont="1" applyFill="1" applyBorder="1" applyAlignment="1">
      <alignment horizontal="center" vertical="center"/>
    </xf>
    <xf numFmtId="0" fontId="0" fillId="15" borderId="2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7" fillId="11" borderId="25" xfId="0" applyFont="1" applyFill="1" applyBorder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7" fillId="11" borderId="27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center"/>
    </xf>
    <xf numFmtId="0" fontId="0" fillId="16" borderId="24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7" fillId="13" borderId="25" xfId="0" applyFont="1" applyFill="1" applyBorder="1" applyAlignment="1">
      <alignment horizontal="center" vertical="center"/>
    </xf>
    <xf numFmtId="0" fontId="7" fillId="13" borderId="26" xfId="0" applyFont="1" applyFill="1" applyBorder="1" applyAlignment="1">
      <alignment horizontal="center" vertical="center"/>
    </xf>
    <xf numFmtId="0" fontId="7" fillId="13" borderId="27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44" fontId="0" fillId="4" borderId="6" xfId="1" applyFont="1" applyFill="1" applyBorder="1" applyAlignment="1">
      <alignment horizontal="center"/>
    </xf>
    <xf numFmtId="44" fontId="0" fillId="4" borderId="19" xfId="1" applyFont="1" applyFill="1" applyBorder="1" applyAlignment="1">
      <alignment horizontal="center"/>
    </xf>
    <xf numFmtId="44" fontId="0" fillId="4" borderId="34" xfId="1" applyFont="1" applyFill="1" applyBorder="1" applyAlignment="1">
      <alignment horizontal="center"/>
    </xf>
    <xf numFmtId="44" fontId="0" fillId="5" borderId="12" xfId="1" applyFont="1" applyFill="1" applyBorder="1" applyAlignment="1">
      <alignment horizontal="center"/>
    </xf>
    <xf numFmtId="0" fontId="9" fillId="17" borderId="25" xfId="0" applyFont="1" applyFill="1" applyBorder="1" applyAlignment="1">
      <alignment horizontal="center" vertical="center"/>
    </xf>
    <xf numFmtId="44" fontId="0" fillId="17" borderId="26" xfId="1" applyFont="1" applyFill="1" applyBorder="1" applyAlignment="1">
      <alignment horizontal="center"/>
    </xf>
    <xf numFmtId="44" fontId="0" fillId="17" borderId="27" xfId="1" applyFont="1" applyFill="1" applyBorder="1" applyAlignment="1">
      <alignment horizontal="center"/>
    </xf>
    <xf numFmtId="0" fontId="1" fillId="17" borderId="20" xfId="0" applyFont="1" applyFill="1" applyBorder="1" applyAlignment="1">
      <alignment horizontal="center" vertical="center"/>
    </xf>
    <xf numFmtId="44" fontId="1" fillId="17" borderId="24" xfId="1" applyFont="1" applyFill="1" applyBorder="1" applyAlignment="1">
      <alignment horizontal="center"/>
    </xf>
    <xf numFmtId="44" fontId="1" fillId="17" borderId="30" xfId="1" applyFont="1" applyFill="1" applyBorder="1" applyAlignment="1">
      <alignment horizontal="center"/>
    </xf>
    <xf numFmtId="0" fontId="0" fillId="16" borderId="25" xfId="0" applyFill="1" applyBorder="1"/>
    <xf numFmtId="44" fontId="0" fillId="16" borderId="26" xfId="0" applyNumberFormat="1" applyFill="1" applyBorder="1" applyAlignment="1">
      <alignment horizontal="center"/>
    </xf>
    <xf numFmtId="0" fontId="0" fillId="16" borderId="27" xfId="0" applyFill="1" applyBorder="1" applyAlignment="1">
      <alignment horizontal="center"/>
    </xf>
    <xf numFmtId="0" fontId="0" fillId="16" borderId="28" xfId="0" applyFill="1" applyBorder="1"/>
    <xf numFmtId="44" fontId="0" fillId="16" borderId="0" xfId="0" applyNumberFormat="1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44" fontId="0" fillId="16" borderId="0" xfId="1" applyFont="1" applyFill="1" applyBorder="1" applyAlignment="1">
      <alignment horizontal="center"/>
    </xf>
    <xf numFmtId="44" fontId="0" fillId="16" borderId="29" xfId="1" applyFont="1" applyFill="1" applyBorder="1" applyAlignment="1">
      <alignment horizontal="center"/>
    </xf>
    <xf numFmtId="0" fontId="0" fillId="16" borderId="20" xfId="0" applyFill="1" applyBorder="1"/>
    <xf numFmtId="44" fontId="0" fillId="16" borderId="24" xfId="0" applyNumberForma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D105-7D9E-4644-B030-D7CE99E51456}">
  <dimension ref="A2:H22"/>
  <sheetViews>
    <sheetView topLeftCell="C2" workbookViewId="0">
      <selection activeCell="I15" sqref="I15"/>
    </sheetView>
  </sheetViews>
  <sheetFormatPr baseColWidth="10" defaultColWidth="11.42578125" defaultRowHeight="15" x14ac:dyDescent="0.25"/>
  <cols>
    <col min="1" max="1" width="13.5703125" customWidth="1"/>
    <col min="2" max="2" width="25.7109375" customWidth="1"/>
    <col min="3" max="3" width="22.140625" customWidth="1"/>
    <col min="4" max="4" width="10.7109375" customWidth="1"/>
    <col min="5" max="5" width="9.140625" customWidth="1"/>
    <col min="6" max="6" width="9.7109375" customWidth="1"/>
    <col min="7" max="7" width="12.7109375" customWidth="1"/>
    <col min="8" max="8" width="17.85546875" customWidth="1"/>
  </cols>
  <sheetData>
    <row r="2" spans="1:8" ht="15.75" thickBot="1" x14ac:dyDescent="0.3"/>
    <row r="3" spans="1:8" ht="21.75" thickBot="1" x14ac:dyDescent="0.4">
      <c r="A3" s="71" t="s">
        <v>0</v>
      </c>
      <c r="B3" s="72"/>
      <c r="C3" s="72"/>
      <c r="D3" s="72"/>
      <c r="E3" s="72"/>
      <c r="F3" s="72"/>
      <c r="G3" s="72"/>
      <c r="H3" s="73"/>
    </row>
    <row r="4" spans="1:8" ht="15.75" thickBot="1" x14ac:dyDescent="0.3">
      <c r="A4" s="55" t="s">
        <v>1</v>
      </c>
      <c r="B4" s="56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spans="1:8" x14ac:dyDescent="0.25">
      <c r="A5" s="60">
        <v>1</v>
      </c>
      <c r="B5" s="57" t="s">
        <v>9</v>
      </c>
      <c r="C5" s="5" t="s">
        <v>10</v>
      </c>
      <c r="D5" s="5" t="s">
        <v>11</v>
      </c>
      <c r="E5" s="5">
        <v>1</v>
      </c>
      <c r="F5" s="5" t="s">
        <v>12</v>
      </c>
      <c r="G5" s="6">
        <f>60*0.2</f>
        <v>12</v>
      </c>
      <c r="H5" s="7">
        <f>G5*E5</f>
        <v>12</v>
      </c>
    </row>
    <row r="6" spans="1:8" x14ac:dyDescent="0.25">
      <c r="A6" s="10">
        <v>2</v>
      </c>
      <c r="B6" s="57" t="s">
        <v>13</v>
      </c>
      <c r="C6" s="5" t="s">
        <v>14</v>
      </c>
      <c r="D6" s="5" t="s">
        <v>15</v>
      </c>
      <c r="E6" s="5">
        <v>1</v>
      </c>
      <c r="F6" s="5" t="s">
        <v>16</v>
      </c>
      <c r="G6" s="6">
        <f>50*0.1</f>
        <v>5</v>
      </c>
      <c r="H6" s="7">
        <f>G6*E6</f>
        <v>5</v>
      </c>
    </row>
    <row r="7" spans="1:8" x14ac:dyDescent="0.25">
      <c r="A7" s="10">
        <v>3</v>
      </c>
      <c r="B7" s="57" t="s">
        <v>17</v>
      </c>
      <c r="C7" s="5" t="s">
        <v>18</v>
      </c>
      <c r="D7" s="5" t="s">
        <v>15</v>
      </c>
      <c r="E7" s="5">
        <v>1</v>
      </c>
      <c r="F7" s="5" t="s">
        <v>19</v>
      </c>
      <c r="G7" s="6">
        <f>7*0.1</f>
        <v>0.70000000000000007</v>
      </c>
      <c r="H7" s="7">
        <f>G7*E7</f>
        <v>0.70000000000000007</v>
      </c>
    </row>
    <row r="8" spans="1:8" x14ac:dyDescent="0.25">
      <c r="A8" s="10">
        <v>4</v>
      </c>
      <c r="B8" s="57" t="s">
        <v>20</v>
      </c>
      <c r="C8" s="5" t="s">
        <v>21</v>
      </c>
      <c r="D8" s="5" t="s">
        <v>22</v>
      </c>
      <c r="E8" s="5">
        <v>1</v>
      </c>
      <c r="F8" s="5" t="s">
        <v>23</v>
      </c>
      <c r="G8" s="6">
        <v>200</v>
      </c>
      <c r="H8" s="7">
        <v>200</v>
      </c>
    </row>
    <row r="9" spans="1:8" x14ac:dyDescent="0.25">
      <c r="A9" s="10">
        <v>5</v>
      </c>
      <c r="B9" s="57" t="s">
        <v>24</v>
      </c>
      <c r="C9" s="5" t="s">
        <v>25</v>
      </c>
      <c r="D9" s="5">
        <v>1</v>
      </c>
      <c r="E9" s="5">
        <v>1</v>
      </c>
      <c r="F9" s="8">
        <v>30</v>
      </c>
      <c r="G9" s="6">
        <v>30</v>
      </c>
      <c r="H9" s="7">
        <f>G9*E9</f>
        <v>30</v>
      </c>
    </row>
    <row r="10" spans="1:8" x14ac:dyDescent="0.25">
      <c r="A10" s="10">
        <v>6</v>
      </c>
      <c r="B10" s="57" t="s">
        <v>26</v>
      </c>
      <c r="C10" s="5" t="s">
        <v>27</v>
      </c>
      <c r="D10" s="5">
        <v>1</v>
      </c>
      <c r="E10" s="5">
        <v>1</v>
      </c>
      <c r="F10" s="8">
        <v>20</v>
      </c>
      <c r="G10" s="6">
        <v>20</v>
      </c>
      <c r="H10" s="7">
        <f>G10*E10</f>
        <v>20</v>
      </c>
    </row>
    <row r="11" spans="1:8" x14ac:dyDescent="0.25">
      <c r="A11" s="10">
        <v>7</v>
      </c>
      <c r="B11" s="57" t="s">
        <v>28</v>
      </c>
      <c r="C11" s="5" t="s">
        <v>29</v>
      </c>
      <c r="D11" s="5" t="s">
        <v>30</v>
      </c>
      <c r="E11" s="5">
        <v>1</v>
      </c>
      <c r="F11" s="5" t="s">
        <v>31</v>
      </c>
      <c r="G11" s="6">
        <f>6*2</f>
        <v>12</v>
      </c>
      <c r="H11" s="7">
        <f>G11*E11</f>
        <v>12</v>
      </c>
    </row>
    <row r="12" spans="1:8" x14ac:dyDescent="0.25">
      <c r="A12" s="10">
        <v>8</v>
      </c>
      <c r="B12" s="57" t="s">
        <v>32</v>
      </c>
      <c r="C12" s="5" t="s">
        <v>33</v>
      </c>
      <c r="D12" s="5">
        <v>1</v>
      </c>
      <c r="E12" s="5">
        <v>1</v>
      </c>
      <c r="F12" s="8" t="s">
        <v>34</v>
      </c>
      <c r="G12" s="6">
        <v>10</v>
      </c>
      <c r="H12" s="7">
        <f>G12*E12</f>
        <v>10</v>
      </c>
    </row>
    <row r="13" spans="1:8" x14ac:dyDescent="0.25">
      <c r="A13" s="10">
        <v>9</v>
      </c>
      <c r="B13" s="57" t="s">
        <v>35</v>
      </c>
      <c r="C13" s="5" t="s">
        <v>36</v>
      </c>
      <c r="D13" s="5" t="s">
        <v>36</v>
      </c>
      <c r="E13" s="5" t="s">
        <v>36</v>
      </c>
      <c r="F13" s="5" t="s">
        <v>36</v>
      </c>
      <c r="G13" s="5" t="s">
        <v>36</v>
      </c>
      <c r="H13" s="7">
        <v>10</v>
      </c>
    </row>
    <row r="14" spans="1:8" x14ac:dyDescent="0.25">
      <c r="A14" s="10">
        <v>10</v>
      </c>
      <c r="B14" s="57" t="s">
        <v>37</v>
      </c>
      <c r="C14" s="5" t="s">
        <v>36</v>
      </c>
      <c r="D14" s="5" t="s">
        <v>36</v>
      </c>
      <c r="E14" s="5" t="s">
        <v>36</v>
      </c>
      <c r="F14" s="5" t="s">
        <v>36</v>
      </c>
      <c r="G14" s="5" t="s">
        <v>36</v>
      </c>
      <c r="H14" s="7">
        <v>3</v>
      </c>
    </row>
    <row r="15" spans="1:8" x14ac:dyDescent="0.25">
      <c r="A15" s="10">
        <v>11</v>
      </c>
      <c r="B15" s="57" t="s">
        <v>38</v>
      </c>
      <c r="C15" s="5" t="s">
        <v>36</v>
      </c>
      <c r="D15" s="5" t="s">
        <v>36</v>
      </c>
      <c r="E15" s="5" t="s">
        <v>36</v>
      </c>
      <c r="F15" s="5" t="s">
        <v>36</v>
      </c>
      <c r="G15" s="5" t="s">
        <v>36</v>
      </c>
      <c r="H15" s="7">
        <v>5</v>
      </c>
    </row>
    <row r="16" spans="1:8" ht="15.75" thickBot="1" x14ac:dyDescent="0.3">
      <c r="A16" s="53">
        <v>12</v>
      </c>
      <c r="B16" s="58" t="s">
        <v>39</v>
      </c>
      <c r="C16" s="54" t="s">
        <v>40</v>
      </c>
      <c r="D16" s="54">
        <v>1</v>
      </c>
      <c r="E16" s="54">
        <v>1</v>
      </c>
      <c r="F16" s="54" t="s">
        <v>34</v>
      </c>
      <c r="G16" s="62">
        <v>10</v>
      </c>
      <c r="H16" s="59">
        <v>10</v>
      </c>
    </row>
    <row r="17" spans="3:8" ht="15.75" thickBot="1" x14ac:dyDescent="0.3">
      <c r="C17" s="1"/>
      <c r="D17" s="1"/>
      <c r="E17" s="1"/>
      <c r="F17" s="69" t="s">
        <v>41</v>
      </c>
      <c r="G17" s="70"/>
      <c r="H17" s="9">
        <f>SUM(H5:H16)</f>
        <v>317.7</v>
      </c>
    </row>
    <row r="18" spans="3:8" x14ac:dyDescent="0.25">
      <c r="C18" s="1"/>
      <c r="D18" s="1"/>
      <c r="E18" s="1"/>
      <c r="F18" s="1"/>
      <c r="G18" s="1"/>
      <c r="H18" s="2"/>
    </row>
    <row r="19" spans="3:8" x14ac:dyDescent="0.25">
      <c r="C19" s="1"/>
      <c r="D19" s="1"/>
      <c r="E19" s="1"/>
      <c r="F19" s="1"/>
      <c r="G19" s="1"/>
      <c r="H19" s="2"/>
    </row>
    <row r="20" spans="3:8" x14ac:dyDescent="0.25">
      <c r="C20" s="1"/>
      <c r="D20" s="1"/>
      <c r="E20" s="1"/>
      <c r="F20" s="1"/>
      <c r="G20" s="1"/>
      <c r="H20" s="2"/>
    </row>
    <row r="21" spans="3:8" x14ac:dyDescent="0.25">
      <c r="C21" s="1"/>
      <c r="D21" s="1"/>
      <c r="E21" s="1"/>
      <c r="F21" s="1"/>
      <c r="G21" s="1"/>
      <c r="H21" s="2"/>
    </row>
    <row r="22" spans="3:8" x14ac:dyDescent="0.25">
      <c r="C22" s="1"/>
      <c r="D22" s="1"/>
      <c r="E22" s="1"/>
      <c r="F22" s="1"/>
      <c r="G22" s="1"/>
      <c r="H22" s="1"/>
    </row>
  </sheetData>
  <mergeCells count="2">
    <mergeCell ref="F17:G17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6754-15EF-4716-94B1-8F15E641D802}">
  <dimension ref="B2:J17"/>
  <sheetViews>
    <sheetView workbookViewId="0">
      <selection activeCell="B3" sqref="B3:J14"/>
    </sheetView>
  </sheetViews>
  <sheetFormatPr baseColWidth="10" defaultColWidth="11.42578125" defaultRowHeight="15" x14ac:dyDescent="0.25"/>
  <cols>
    <col min="2" max="2" width="13" customWidth="1"/>
    <col min="5" max="5" width="39.7109375" customWidth="1"/>
    <col min="6" max="6" width="15.28515625" customWidth="1"/>
    <col min="7" max="7" width="10.140625" customWidth="1"/>
    <col min="9" max="9" width="14.7109375" customWidth="1"/>
  </cols>
  <sheetData>
    <row r="2" spans="2:10" ht="15.75" thickBot="1" x14ac:dyDescent="0.3"/>
    <row r="3" spans="2:10" ht="24.75" thickBot="1" x14ac:dyDescent="0.45">
      <c r="B3" s="78" t="s">
        <v>42</v>
      </c>
      <c r="C3" s="79"/>
      <c r="D3" s="79"/>
      <c r="E3" s="79"/>
      <c r="F3" s="79"/>
      <c r="G3" s="79"/>
      <c r="H3" s="79"/>
      <c r="I3" s="79"/>
      <c r="J3" s="80"/>
    </row>
    <row r="4" spans="2:10" ht="60.75" thickBot="1" x14ac:dyDescent="0.3">
      <c r="B4" s="19" t="s">
        <v>43</v>
      </c>
      <c r="C4" s="20" t="s">
        <v>44</v>
      </c>
      <c r="D4" s="21" t="s">
        <v>45</v>
      </c>
      <c r="E4" s="21" t="s">
        <v>46</v>
      </c>
      <c r="F4" s="22" t="s">
        <v>47</v>
      </c>
      <c r="G4" s="22" t="s">
        <v>48</v>
      </c>
      <c r="H4" s="22" t="s">
        <v>49</v>
      </c>
      <c r="I4" s="22" t="s">
        <v>50</v>
      </c>
      <c r="J4" s="23" t="s">
        <v>51</v>
      </c>
    </row>
    <row r="5" spans="2:10" ht="30" x14ac:dyDescent="0.25">
      <c r="B5" s="16" t="s">
        <v>52</v>
      </c>
      <c r="C5" s="24" t="s">
        <v>53</v>
      </c>
      <c r="D5" s="17" t="s">
        <v>36</v>
      </c>
      <c r="E5" s="39" t="s">
        <v>54</v>
      </c>
      <c r="F5" s="18" t="s">
        <v>55</v>
      </c>
      <c r="G5" s="18">
        <v>3</v>
      </c>
      <c r="H5" s="34">
        <v>18</v>
      </c>
      <c r="I5" s="25"/>
      <c r="J5" s="26">
        <f>G5/60*H5+I5</f>
        <v>0.9</v>
      </c>
    </row>
    <row r="6" spans="2:10" x14ac:dyDescent="0.25">
      <c r="B6" s="76" t="s">
        <v>56</v>
      </c>
      <c r="C6" s="74" t="s">
        <v>57</v>
      </c>
      <c r="D6" s="13">
        <v>1</v>
      </c>
      <c r="E6" s="27" t="s">
        <v>58</v>
      </c>
      <c r="F6" s="12" t="s">
        <v>59</v>
      </c>
      <c r="G6" s="12">
        <v>3</v>
      </c>
      <c r="H6" s="34">
        <v>18</v>
      </c>
      <c r="I6" s="29">
        <f>Partes!H12</f>
        <v>10</v>
      </c>
      <c r="J6" s="30">
        <f t="shared" ref="J6:J13" si="0">G6/60*H6+I6</f>
        <v>10.9</v>
      </c>
    </row>
    <row r="7" spans="2:10" x14ac:dyDescent="0.25">
      <c r="B7" s="76"/>
      <c r="C7" s="74"/>
      <c r="D7" s="13">
        <v>2</v>
      </c>
      <c r="E7" s="27" t="s">
        <v>60</v>
      </c>
      <c r="F7" s="12" t="s">
        <v>61</v>
      </c>
      <c r="G7" s="12">
        <v>3</v>
      </c>
      <c r="H7" s="34">
        <v>18</v>
      </c>
      <c r="I7" s="29">
        <f>Partes!H13/2</f>
        <v>5</v>
      </c>
      <c r="J7" s="30">
        <f t="shared" si="0"/>
        <v>5.9</v>
      </c>
    </row>
    <row r="8" spans="2:10" x14ac:dyDescent="0.25">
      <c r="B8" s="76"/>
      <c r="C8" s="74"/>
      <c r="D8" s="13">
        <v>3</v>
      </c>
      <c r="E8" s="27" t="s">
        <v>62</v>
      </c>
      <c r="F8" s="12" t="s">
        <v>63</v>
      </c>
      <c r="G8" s="12">
        <v>5</v>
      </c>
      <c r="H8" s="34">
        <v>18</v>
      </c>
      <c r="I8" s="29">
        <f>Partes!H10+Partes!H16/2</f>
        <v>25</v>
      </c>
      <c r="J8" s="30">
        <f t="shared" si="0"/>
        <v>26.5</v>
      </c>
    </row>
    <row r="9" spans="2:10" x14ac:dyDescent="0.25">
      <c r="B9" s="76" t="s">
        <v>64</v>
      </c>
      <c r="C9" s="74" t="s">
        <v>65</v>
      </c>
      <c r="D9" s="13">
        <v>1</v>
      </c>
      <c r="E9" s="27" t="s">
        <v>66</v>
      </c>
      <c r="F9" s="12" t="s">
        <v>67</v>
      </c>
      <c r="G9" s="12">
        <v>4</v>
      </c>
      <c r="H9" s="35">
        <v>25</v>
      </c>
      <c r="I9" s="29">
        <f>Partes!H6+Partes!H16/2</f>
        <v>10</v>
      </c>
      <c r="J9" s="30">
        <f t="shared" si="0"/>
        <v>11.666666666666666</v>
      </c>
    </row>
    <row r="10" spans="2:10" x14ac:dyDescent="0.25">
      <c r="B10" s="76"/>
      <c r="C10" s="74"/>
      <c r="D10" s="13">
        <v>2</v>
      </c>
      <c r="E10" s="27" t="s">
        <v>68</v>
      </c>
      <c r="F10" s="12" t="s">
        <v>69</v>
      </c>
      <c r="G10" s="12">
        <v>1</v>
      </c>
      <c r="H10" s="35">
        <v>25</v>
      </c>
      <c r="I10" s="29">
        <f>Partes!H5</f>
        <v>12</v>
      </c>
      <c r="J10" s="30">
        <f t="shared" si="0"/>
        <v>12.416666666666666</v>
      </c>
    </row>
    <row r="11" spans="2:10" x14ac:dyDescent="0.25">
      <c r="B11" s="76"/>
      <c r="C11" s="74"/>
      <c r="D11" s="13">
        <v>3</v>
      </c>
      <c r="E11" s="27" t="s">
        <v>70</v>
      </c>
      <c r="F11" s="12" t="s">
        <v>71</v>
      </c>
      <c r="G11" s="12">
        <v>4</v>
      </c>
      <c r="H11" s="35">
        <v>25</v>
      </c>
      <c r="I11" s="28"/>
      <c r="J11" s="30">
        <f t="shared" si="0"/>
        <v>1.6666666666666667</v>
      </c>
    </row>
    <row r="12" spans="2:10" x14ac:dyDescent="0.25">
      <c r="B12" s="76"/>
      <c r="C12" s="74"/>
      <c r="D12" s="13">
        <v>4</v>
      </c>
      <c r="E12" s="27" t="s">
        <v>72</v>
      </c>
      <c r="F12" s="12">
        <v>3</v>
      </c>
      <c r="G12" s="12">
        <v>2</v>
      </c>
      <c r="H12" s="35">
        <v>25</v>
      </c>
      <c r="I12" s="29">
        <f>Partes!H7</f>
        <v>0.70000000000000007</v>
      </c>
      <c r="J12" s="30">
        <f t="shared" si="0"/>
        <v>1.5333333333333334</v>
      </c>
    </row>
    <row r="13" spans="2:10" ht="30.75" thickBot="1" x14ac:dyDescent="0.3">
      <c r="B13" s="77"/>
      <c r="C13" s="75"/>
      <c r="D13" s="14">
        <v>5</v>
      </c>
      <c r="E13" s="61" t="s">
        <v>73</v>
      </c>
      <c r="F13" s="15" t="s">
        <v>74</v>
      </c>
      <c r="G13" s="15">
        <v>15</v>
      </c>
      <c r="H13" s="36">
        <v>25</v>
      </c>
      <c r="I13" s="31">
        <f>Partes!H8+Partes!H9+Partes!H11+Partes!H13/2+Partes!H14+Partes!H16</f>
        <v>260</v>
      </c>
      <c r="J13" s="32">
        <f t="shared" si="0"/>
        <v>266.25</v>
      </c>
    </row>
    <row r="14" spans="2:10" ht="15.75" thickBot="1" x14ac:dyDescent="0.3">
      <c r="C14" s="11"/>
      <c r="D14" s="11"/>
      <c r="E14" s="33"/>
      <c r="F14" s="33"/>
      <c r="G14" s="40">
        <f>SUM(G5:G13)</f>
        <v>40</v>
      </c>
      <c r="H14" s="33"/>
      <c r="I14" s="37">
        <f>SUM(I5:I13)</f>
        <v>322.7</v>
      </c>
      <c r="J14" s="38">
        <f>SUM(J5:J13)</f>
        <v>337.73333333333335</v>
      </c>
    </row>
    <row r="15" spans="2:10" x14ac:dyDescent="0.25">
      <c r="C15" s="11"/>
      <c r="D15" s="11"/>
    </row>
    <row r="16" spans="2:10" x14ac:dyDescent="0.25">
      <c r="C16" s="11"/>
      <c r="D16" s="11"/>
    </row>
    <row r="17" spans="3:4" x14ac:dyDescent="0.25">
      <c r="C17" s="11"/>
      <c r="D17" s="11"/>
    </row>
  </sheetData>
  <mergeCells count="5">
    <mergeCell ref="C6:C8"/>
    <mergeCell ref="C9:C13"/>
    <mergeCell ref="B9:B13"/>
    <mergeCell ref="B6:B8"/>
    <mergeCell ref="B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BBAE-7850-484B-9DDE-51833F8B60A7}">
  <dimension ref="B4:V8"/>
  <sheetViews>
    <sheetView topLeftCell="L1" workbookViewId="0">
      <selection activeCell="P17" sqref="P17"/>
    </sheetView>
  </sheetViews>
  <sheetFormatPr baseColWidth="10" defaultColWidth="15.7109375" defaultRowHeight="15" x14ac:dyDescent="0.25"/>
  <cols>
    <col min="3" max="4" width="15.7109375" customWidth="1"/>
  </cols>
  <sheetData>
    <row r="4" spans="2:22" ht="15.75" thickBot="1" x14ac:dyDescent="0.3"/>
    <row r="5" spans="2:22" ht="24" x14ac:dyDescent="0.4">
      <c r="B5" s="41" t="s">
        <v>75</v>
      </c>
      <c r="C5" s="81" t="s">
        <v>76</v>
      </c>
      <c r="D5" s="82"/>
      <c r="E5" s="82"/>
      <c r="F5" s="82"/>
      <c r="G5" s="82"/>
      <c r="H5" s="83"/>
      <c r="I5" s="106" t="s">
        <v>77</v>
      </c>
      <c r="J5" s="107"/>
      <c r="K5" s="107"/>
      <c r="L5" s="107"/>
      <c r="M5" s="107"/>
      <c r="N5" s="107"/>
      <c r="O5" s="107"/>
      <c r="P5" s="108"/>
      <c r="Q5" s="112" t="s">
        <v>78</v>
      </c>
      <c r="R5" s="113"/>
      <c r="S5" s="113"/>
      <c r="T5" s="113"/>
      <c r="U5" s="113"/>
      <c r="V5" s="114"/>
    </row>
    <row r="6" spans="2:22" ht="45" customHeight="1" x14ac:dyDescent="0.25">
      <c r="B6" s="42" t="s">
        <v>79</v>
      </c>
      <c r="C6" s="48" t="s">
        <v>80</v>
      </c>
      <c r="D6" s="96" t="s">
        <v>81</v>
      </c>
      <c r="E6" s="96"/>
      <c r="F6" s="99" t="s">
        <v>82</v>
      </c>
      <c r="G6" s="99"/>
      <c r="H6" s="49" t="s">
        <v>83</v>
      </c>
      <c r="I6" s="50" t="s">
        <v>84</v>
      </c>
      <c r="J6" s="91" t="s">
        <v>85</v>
      </c>
      <c r="K6" s="91"/>
      <c r="L6" s="51" t="s">
        <v>86</v>
      </c>
      <c r="M6" s="93" t="s">
        <v>87</v>
      </c>
      <c r="N6" s="93"/>
      <c r="O6" s="93"/>
      <c r="P6" s="94"/>
      <c r="Q6" s="52" t="s">
        <v>88</v>
      </c>
      <c r="R6" s="84" t="s">
        <v>89</v>
      </c>
      <c r="S6" s="84"/>
      <c r="T6" s="100" t="s">
        <v>90</v>
      </c>
      <c r="U6" s="100"/>
      <c r="V6" s="101"/>
    </row>
    <row r="7" spans="2:22" x14ac:dyDescent="0.25">
      <c r="B7" s="86" t="s">
        <v>91</v>
      </c>
      <c r="C7" s="43" t="s">
        <v>92</v>
      </c>
      <c r="D7" s="97" t="s">
        <v>93</v>
      </c>
      <c r="E7" s="97"/>
      <c r="F7" s="98" t="s">
        <v>93</v>
      </c>
      <c r="G7" s="98"/>
      <c r="H7" s="44" t="s">
        <v>92</v>
      </c>
      <c r="I7" s="45" t="s">
        <v>92</v>
      </c>
      <c r="J7" s="92" t="s">
        <v>93</v>
      </c>
      <c r="K7" s="92"/>
      <c r="L7" s="46" t="s">
        <v>92</v>
      </c>
      <c r="M7" s="92" t="s">
        <v>94</v>
      </c>
      <c r="N7" s="92"/>
      <c r="O7" s="92"/>
      <c r="P7" s="95"/>
      <c r="Q7" s="47" t="s">
        <v>92</v>
      </c>
      <c r="R7" s="85" t="s">
        <v>93</v>
      </c>
      <c r="S7" s="85"/>
      <c r="T7" s="85" t="s">
        <v>95</v>
      </c>
      <c r="U7" s="85"/>
      <c r="V7" s="102"/>
    </row>
    <row r="8" spans="2:22" ht="15.75" thickBot="1" x14ac:dyDescent="0.3">
      <c r="B8" s="87"/>
      <c r="C8" s="88" t="s">
        <v>96</v>
      </c>
      <c r="D8" s="89"/>
      <c r="E8" s="89"/>
      <c r="F8" s="89"/>
      <c r="G8" s="89"/>
      <c r="H8" s="90"/>
      <c r="I8" s="103" t="s">
        <v>97</v>
      </c>
      <c r="J8" s="104"/>
      <c r="K8" s="104"/>
      <c r="L8" s="104"/>
      <c r="M8" s="104"/>
      <c r="N8" s="104"/>
      <c r="O8" s="104"/>
      <c r="P8" s="105"/>
      <c r="Q8" s="109" t="s">
        <v>96</v>
      </c>
      <c r="R8" s="110"/>
      <c r="S8" s="110"/>
      <c r="T8" s="110"/>
      <c r="U8" s="110"/>
      <c r="V8" s="111"/>
    </row>
  </sheetData>
  <mergeCells count="19">
    <mergeCell ref="T6:V6"/>
    <mergeCell ref="T7:V7"/>
    <mergeCell ref="I8:P8"/>
    <mergeCell ref="I5:P5"/>
    <mergeCell ref="Q8:V8"/>
    <mergeCell ref="Q5:V5"/>
    <mergeCell ref="C5:H5"/>
    <mergeCell ref="R6:S6"/>
    <mergeCell ref="R7:S7"/>
    <mergeCell ref="B7:B8"/>
    <mergeCell ref="C8:H8"/>
    <mergeCell ref="J6:K6"/>
    <mergeCell ref="J7:K7"/>
    <mergeCell ref="M6:P6"/>
    <mergeCell ref="M7:P7"/>
    <mergeCell ref="D6:E6"/>
    <mergeCell ref="D7:E7"/>
    <mergeCell ref="F7:G7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105-24AB-43BD-8708-2F69E170224C}">
  <dimension ref="B1:S29"/>
  <sheetViews>
    <sheetView tabSelected="1" topLeftCell="G1" workbookViewId="0">
      <selection activeCell="K3" sqref="K3:M8"/>
    </sheetView>
  </sheetViews>
  <sheetFormatPr baseColWidth="10" defaultColWidth="11.42578125" defaultRowHeight="15" x14ac:dyDescent="0.25"/>
  <cols>
    <col min="2" max="2" width="9.42578125" bestFit="1" customWidth="1"/>
    <col min="3" max="3" width="32.85546875" customWidth="1"/>
    <col min="4" max="4" width="31.28515625" customWidth="1"/>
    <col min="5" max="5" width="12.42578125" customWidth="1"/>
    <col min="6" max="6" width="5.7109375" bestFit="1" customWidth="1"/>
    <col min="7" max="7" width="13.7109375" customWidth="1"/>
    <col min="8" max="8" width="10.42578125" customWidth="1"/>
    <col min="9" max="9" width="18.7109375" bestFit="1" customWidth="1"/>
    <col min="11" max="11" width="22.42578125" bestFit="1" customWidth="1"/>
    <col min="12" max="12" width="6.28515625" bestFit="1" customWidth="1"/>
    <col min="13" max="13" width="8.85546875" bestFit="1" customWidth="1"/>
    <col min="14" max="14" width="30.42578125" bestFit="1" customWidth="1"/>
    <col min="15" max="15" width="14" bestFit="1" customWidth="1"/>
    <col min="16" max="16" width="10.7109375" bestFit="1" customWidth="1"/>
    <col min="17" max="17" width="11.85546875" customWidth="1"/>
    <col min="18" max="18" width="9.42578125" bestFit="1" customWidth="1"/>
    <col min="19" max="19" width="11" customWidth="1"/>
  </cols>
  <sheetData>
    <row r="1" spans="2:17" ht="15.75" thickBot="1" x14ac:dyDescent="0.3"/>
    <row r="2" spans="2:17" ht="21.75" thickBot="1" x14ac:dyDescent="0.4">
      <c r="B2" s="71" t="s">
        <v>98</v>
      </c>
      <c r="C2" s="72"/>
      <c r="D2" s="72"/>
      <c r="E2" s="72"/>
      <c r="F2" s="72"/>
      <c r="G2" s="72"/>
      <c r="H2" s="72"/>
      <c r="I2" s="73"/>
    </row>
    <row r="3" spans="2:17" ht="15.75" thickBot="1" x14ac:dyDescent="0.3">
      <c r="B3" s="55" t="s">
        <v>99</v>
      </c>
      <c r="C3" s="56" t="s">
        <v>100</v>
      </c>
      <c r="D3" s="3" t="s">
        <v>101</v>
      </c>
      <c r="E3" s="3" t="s">
        <v>102</v>
      </c>
      <c r="F3" s="3" t="s">
        <v>103</v>
      </c>
      <c r="G3" s="3" t="s">
        <v>104</v>
      </c>
      <c r="H3" s="3" t="s">
        <v>105</v>
      </c>
      <c r="I3" s="4" t="s">
        <v>106</v>
      </c>
      <c r="K3" s="121" t="s">
        <v>107</v>
      </c>
      <c r="L3" s="122">
        <v>12000</v>
      </c>
      <c r="M3" s="123"/>
    </row>
    <row r="4" spans="2:17" ht="15.75" thickBot="1" x14ac:dyDescent="0.3">
      <c r="B4" s="60">
        <v>1</v>
      </c>
      <c r="C4" s="57" t="s">
        <v>108</v>
      </c>
      <c r="D4" s="5" t="s">
        <v>109</v>
      </c>
      <c r="E4" s="5" t="s">
        <v>110</v>
      </c>
      <c r="F4" s="5">
        <v>1</v>
      </c>
      <c r="G4" s="5" t="s">
        <v>111</v>
      </c>
      <c r="H4" s="6">
        <f>20*0.5</f>
        <v>10</v>
      </c>
      <c r="I4" s="117">
        <f>H4*F4</f>
        <v>10</v>
      </c>
      <c r="K4" s="124" t="s">
        <v>112</v>
      </c>
      <c r="L4" s="125">
        <f>L3*0.85</f>
        <v>10200</v>
      </c>
      <c r="M4" s="126"/>
    </row>
    <row r="5" spans="2:17" ht="15" customHeight="1" x14ac:dyDescent="0.25">
      <c r="B5" s="10">
        <v>2</v>
      </c>
      <c r="C5" s="57" t="s">
        <v>113</v>
      </c>
      <c r="D5" s="5" t="s">
        <v>114</v>
      </c>
      <c r="E5" s="5" t="s">
        <v>22</v>
      </c>
      <c r="F5" s="5">
        <v>1</v>
      </c>
      <c r="G5" s="5" t="s">
        <v>115</v>
      </c>
      <c r="H5" s="6">
        <v>300</v>
      </c>
      <c r="I5" s="117">
        <v>300</v>
      </c>
      <c r="K5" s="127" t="s">
        <v>117</v>
      </c>
      <c r="L5" s="128">
        <f>S29*10</f>
        <v>4511.25</v>
      </c>
      <c r="M5" s="129"/>
    </row>
    <row r="6" spans="2:17" x14ac:dyDescent="0.25">
      <c r="B6" s="10">
        <v>3</v>
      </c>
      <c r="C6" s="57" t="s">
        <v>116</v>
      </c>
      <c r="D6" s="5" t="s">
        <v>25</v>
      </c>
      <c r="E6" s="5">
        <v>1</v>
      </c>
      <c r="F6" s="5">
        <v>1</v>
      </c>
      <c r="G6" s="8">
        <v>30</v>
      </c>
      <c r="H6" s="6">
        <v>30</v>
      </c>
      <c r="I6" s="117">
        <f>H6*F6</f>
        <v>30</v>
      </c>
      <c r="K6" s="130" t="s">
        <v>122</v>
      </c>
      <c r="L6" s="131">
        <v>2500</v>
      </c>
      <c r="M6" s="132"/>
    </row>
    <row r="7" spans="2:17" x14ac:dyDescent="0.25">
      <c r="B7" s="10">
        <v>4</v>
      </c>
      <c r="C7" s="57" t="s">
        <v>118</v>
      </c>
      <c r="D7" s="5" t="s">
        <v>119</v>
      </c>
      <c r="E7" s="5" t="s">
        <v>120</v>
      </c>
      <c r="F7" s="5">
        <v>1</v>
      </c>
      <c r="G7" s="5" t="s">
        <v>121</v>
      </c>
      <c r="H7" s="6">
        <f>5*2.5</f>
        <v>12.5</v>
      </c>
      <c r="I7" s="117">
        <f>H7*F7</f>
        <v>12.5</v>
      </c>
      <c r="K7" s="130" t="s">
        <v>124</v>
      </c>
      <c r="L7" s="133">
        <v>2000</v>
      </c>
      <c r="M7" s="134"/>
      <c r="N7" s="1"/>
      <c r="O7" s="67"/>
      <c r="P7" s="68"/>
      <c r="Q7" s="68"/>
    </row>
    <row r="8" spans="2:17" ht="15" customHeight="1" thickBot="1" x14ac:dyDescent="0.3">
      <c r="B8" s="10">
        <v>5</v>
      </c>
      <c r="C8" s="57" t="s">
        <v>123</v>
      </c>
      <c r="D8" s="5" t="s">
        <v>14</v>
      </c>
      <c r="E8" s="5" t="s">
        <v>15</v>
      </c>
      <c r="F8" s="5">
        <v>1</v>
      </c>
      <c r="G8" s="5" t="s">
        <v>16</v>
      </c>
      <c r="H8" s="6">
        <f>50*0.1</f>
        <v>5</v>
      </c>
      <c r="I8" s="117">
        <f>H8*F8</f>
        <v>5</v>
      </c>
      <c r="K8" s="135" t="s">
        <v>126</v>
      </c>
      <c r="L8" s="136">
        <f>L4-L5-L6-L7</f>
        <v>1188.75</v>
      </c>
      <c r="M8" s="111"/>
    </row>
    <row r="9" spans="2:17" x14ac:dyDescent="0.25">
      <c r="B9" s="63">
        <v>6</v>
      </c>
      <c r="C9" s="57" t="s">
        <v>125</v>
      </c>
      <c r="D9" s="5" t="s">
        <v>40</v>
      </c>
      <c r="E9" s="5">
        <v>1</v>
      </c>
      <c r="F9" s="5">
        <v>1</v>
      </c>
      <c r="G9" s="8" t="s">
        <v>34</v>
      </c>
      <c r="H9" s="6">
        <v>10</v>
      </c>
      <c r="I9" s="117">
        <v>10</v>
      </c>
    </row>
    <row r="10" spans="2:17" x14ac:dyDescent="0.25">
      <c r="B10" s="63">
        <v>7</v>
      </c>
      <c r="C10" s="57" t="s">
        <v>127</v>
      </c>
      <c r="D10" s="5" t="s">
        <v>33</v>
      </c>
      <c r="E10" s="5">
        <v>1</v>
      </c>
      <c r="F10" s="5">
        <v>1</v>
      </c>
      <c r="G10" s="5" t="s">
        <v>34</v>
      </c>
      <c r="H10" s="6">
        <v>10</v>
      </c>
      <c r="I10" s="117">
        <f>H10*F10</f>
        <v>10</v>
      </c>
      <c r="K10" s="66"/>
      <c r="L10" s="1"/>
      <c r="M10" s="1"/>
      <c r="N10" s="1"/>
      <c r="O10" s="67"/>
      <c r="P10" s="68"/>
      <c r="Q10" s="68"/>
    </row>
    <row r="11" spans="2:17" x14ac:dyDescent="0.25">
      <c r="B11" s="10">
        <v>8</v>
      </c>
      <c r="C11" s="64" t="s">
        <v>128</v>
      </c>
      <c r="D11" s="65" t="s">
        <v>36</v>
      </c>
      <c r="E11" s="65" t="s">
        <v>36</v>
      </c>
      <c r="F11" s="65" t="s">
        <v>36</v>
      </c>
      <c r="G11" s="65" t="s">
        <v>36</v>
      </c>
      <c r="H11" s="65" t="s">
        <v>36</v>
      </c>
      <c r="I11" s="118">
        <v>15</v>
      </c>
    </row>
    <row r="12" spans="2:17" x14ac:dyDescent="0.25">
      <c r="B12" s="10">
        <v>9</v>
      </c>
      <c r="C12" s="57" t="s">
        <v>129</v>
      </c>
      <c r="D12" s="5" t="s">
        <v>27</v>
      </c>
      <c r="E12" s="5">
        <v>1</v>
      </c>
      <c r="F12" s="5">
        <v>1</v>
      </c>
      <c r="G12" s="8">
        <v>20</v>
      </c>
      <c r="H12" s="6">
        <v>20</v>
      </c>
      <c r="I12" s="117">
        <f>H12*F12</f>
        <v>20</v>
      </c>
    </row>
    <row r="13" spans="2:17" x14ac:dyDescent="0.25">
      <c r="B13" s="10">
        <v>10</v>
      </c>
      <c r="C13" s="57" t="s">
        <v>130</v>
      </c>
      <c r="D13" s="5" t="s">
        <v>29</v>
      </c>
      <c r="E13" s="5" t="s">
        <v>30</v>
      </c>
      <c r="F13" s="5">
        <v>1</v>
      </c>
      <c r="G13" s="5" t="s">
        <v>31</v>
      </c>
      <c r="H13" s="6">
        <f>6*2</f>
        <v>12</v>
      </c>
      <c r="I13" s="117">
        <f>H13*F13</f>
        <v>12</v>
      </c>
    </row>
    <row r="14" spans="2:17" x14ac:dyDescent="0.25">
      <c r="B14" s="10">
        <v>11</v>
      </c>
      <c r="C14" s="57" t="s">
        <v>131</v>
      </c>
      <c r="D14" s="5" t="s">
        <v>36</v>
      </c>
      <c r="E14" s="5" t="s">
        <v>36</v>
      </c>
      <c r="F14" s="5" t="s">
        <v>36</v>
      </c>
      <c r="G14" s="5" t="s">
        <v>36</v>
      </c>
      <c r="H14" s="5" t="s">
        <v>36</v>
      </c>
      <c r="I14" s="117">
        <v>10</v>
      </c>
    </row>
    <row r="15" spans="2:17" ht="15.75" thickBot="1" x14ac:dyDescent="0.3">
      <c r="B15" s="53">
        <v>12</v>
      </c>
      <c r="C15" s="58" t="s">
        <v>132</v>
      </c>
      <c r="D15" s="54" t="s">
        <v>36</v>
      </c>
      <c r="E15" s="54" t="s">
        <v>36</v>
      </c>
      <c r="F15" s="54" t="s">
        <v>36</v>
      </c>
      <c r="G15" s="54" t="s">
        <v>36</v>
      </c>
      <c r="H15" s="62" t="s">
        <v>36</v>
      </c>
      <c r="I15" s="119">
        <v>3</v>
      </c>
    </row>
    <row r="16" spans="2:17" ht="15.75" thickBot="1" x14ac:dyDescent="0.3">
      <c r="D16" s="1"/>
      <c r="E16" s="1"/>
      <c r="F16" s="1"/>
      <c r="G16" s="115" t="s">
        <v>160</v>
      </c>
      <c r="H16" s="116"/>
      <c r="I16" s="120">
        <f>SUM(I4:I15)</f>
        <v>437.5</v>
      </c>
    </row>
    <row r="17" spans="11:19" ht="15.75" thickBot="1" x14ac:dyDescent="0.3"/>
    <row r="18" spans="11:19" ht="24.75" thickBot="1" x14ac:dyDescent="0.45">
      <c r="K18" s="78" t="s">
        <v>161</v>
      </c>
      <c r="L18" s="79"/>
      <c r="M18" s="79"/>
      <c r="N18" s="79"/>
      <c r="O18" s="79"/>
      <c r="P18" s="79"/>
      <c r="Q18" s="79"/>
      <c r="R18" s="79"/>
      <c r="S18" s="80"/>
    </row>
    <row r="19" spans="11:19" ht="45.75" thickBot="1" x14ac:dyDescent="0.3">
      <c r="K19" s="19" t="s">
        <v>133</v>
      </c>
      <c r="L19" s="20" t="s">
        <v>134</v>
      </c>
      <c r="M19" s="21" t="s">
        <v>135</v>
      </c>
      <c r="N19" s="21" t="s">
        <v>136</v>
      </c>
      <c r="O19" s="22" t="s">
        <v>137</v>
      </c>
      <c r="P19" s="22" t="s">
        <v>138</v>
      </c>
      <c r="Q19" s="22" t="s">
        <v>139</v>
      </c>
      <c r="R19" s="22" t="s">
        <v>140</v>
      </c>
      <c r="S19" s="23" t="s">
        <v>141</v>
      </c>
    </row>
    <row r="20" spans="11:19" ht="30" x14ac:dyDescent="0.25">
      <c r="K20" s="16" t="s">
        <v>142</v>
      </c>
      <c r="L20" s="24" t="s">
        <v>53</v>
      </c>
      <c r="M20" s="17" t="s">
        <v>36</v>
      </c>
      <c r="N20" s="39" t="s">
        <v>143</v>
      </c>
      <c r="O20" s="18" t="s">
        <v>55</v>
      </c>
      <c r="P20" s="18">
        <v>2</v>
      </c>
      <c r="Q20" s="34">
        <v>18</v>
      </c>
      <c r="R20" s="25"/>
      <c r="S20" s="26">
        <f>P20/60*Q20+R20</f>
        <v>0.6</v>
      </c>
    </row>
    <row r="21" spans="11:19" x14ac:dyDescent="0.25">
      <c r="K21" s="76" t="s">
        <v>144</v>
      </c>
      <c r="L21" s="74" t="s">
        <v>57</v>
      </c>
      <c r="M21" s="13">
        <v>1</v>
      </c>
      <c r="N21" s="27" t="s">
        <v>145</v>
      </c>
      <c r="O21" s="12" t="s">
        <v>146</v>
      </c>
      <c r="P21" s="12">
        <v>4</v>
      </c>
      <c r="Q21" s="34">
        <v>18</v>
      </c>
      <c r="R21" s="29">
        <f>I10</f>
        <v>10</v>
      </c>
      <c r="S21" s="30">
        <f t="shared" ref="S21:S28" si="0">P21/60*Q21+R21</f>
        <v>11.2</v>
      </c>
    </row>
    <row r="22" spans="11:19" x14ac:dyDescent="0.25">
      <c r="K22" s="76"/>
      <c r="L22" s="74"/>
      <c r="M22" s="13">
        <v>2</v>
      </c>
      <c r="N22" s="27" t="s">
        <v>147</v>
      </c>
      <c r="O22" s="12" t="s">
        <v>148</v>
      </c>
      <c r="P22" s="12">
        <v>4</v>
      </c>
      <c r="Q22" s="34">
        <v>18</v>
      </c>
      <c r="R22" s="29">
        <f>I11</f>
        <v>15</v>
      </c>
      <c r="S22" s="30">
        <f t="shared" si="0"/>
        <v>16.2</v>
      </c>
    </row>
    <row r="23" spans="11:19" x14ac:dyDescent="0.25">
      <c r="K23" s="76"/>
      <c r="L23" s="74"/>
      <c r="M23" s="13">
        <v>3</v>
      </c>
      <c r="N23" s="27" t="s">
        <v>149</v>
      </c>
      <c r="O23" s="12" t="s">
        <v>150</v>
      </c>
      <c r="P23" s="12">
        <v>10</v>
      </c>
      <c r="Q23" s="34">
        <v>18</v>
      </c>
      <c r="R23" s="29">
        <f>I12+I14/2</f>
        <v>25</v>
      </c>
      <c r="S23" s="30">
        <f t="shared" si="0"/>
        <v>28</v>
      </c>
    </row>
    <row r="24" spans="11:19" x14ac:dyDescent="0.25">
      <c r="K24" s="76" t="s">
        <v>151</v>
      </c>
      <c r="L24" s="74" t="s">
        <v>65</v>
      </c>
      <c r="M24" s="13">
        <v>1</v>
      </c>
      <c r="N24" s="27" t="s">
        <v>152</v>
      </c>
      <c r="O24" s="12" t="s">
        <v>153</v>
      </c>
      <c r="P24" s="12">
        <v>4</v>
      </c>
      <c r="Q24" s="35">
        <v>25</v>
      </c>
      <c r="R24" s="29">
        <f>I8+I14/2</f>
        <v>10</v>
      </c>
      <c r="S24" s="30">
        <f t="shared" si="0"/>
        <v>11.666666666666666</v>
      </c>
    </row>
    <row r="25" spans="11:19" x14ac:dyDescent="0.25">
      <c r="K25" s="76"/>
      <c r="L25" s="74"/>
      <c r="M25" s="13">
        <v>2</v>
      </c>
      <c r="N25" s="27" t="s">
        <v>154</v>
      </c>
      <c r="O25" s="12" t="s">
        <v>155</v>
      </c>
      <c r="P25" s="12">
        <v>1.5</v>
      </c>
      <c r="Q25" s="35">
        <v>25</v>
      </c>
      <c r="R25" s="29">
        <f>I7</f>
        <v>12.5</v>
      </c>
      <c r="S25" s="30">
        <f t="shared" si="0"/>
        <v>13.125</v>
      </c>
    </row>
    <row r="26" spans="11:19" x14ac:dyDescent="0.25">
      <c r="K26" s="76"/>
      <c r="L26" s="74"/>
      <c r="M26" s="13">
        <v>3</v>
      </c>
      <c r="N26" s="27" t="s">
        <v>156</v>
      </c>
      <c r="O26" s="12" t="s">
        <v>71</v>
      </c>
      <c r="P26" s="12">
        <v>5</v>
      </c>
      <c r="Q26" s="35">
        <v>25</v>
      </c>
      <c r="R26" s="28"/>
      <c r="S26" s="30">
        <f t="shared" si="0"/>
        <v>2.083333333333333</v>
      </c>
    </row>
    <row r="27" spans="11:19" x14ac:dyDescent="0.25">
      <c r="K27" s="76"/>
      <c r="L27" s="74"/>
      <c r="M27" s="13">
        <v>4</v>
      </c>
      <c r="N27" s="27" t="s">
        <v>157</v>
      </c>
      <c r="O27" s="12">
        <v>1</v>
      </c>
      <c r="P27" s="12">
        <v>2</v>
      </c>
      <c r="Q27" s="35">
        <v>25</v>
      </c>
      <c r="R27" s="29">
        <f>I4</f>
        <v>10</v>
      </c>
      <c r="S27" s="30">
        <f t="shared" si="0"/>
        <v>10.833333333333334</v>
      </c>
    </row>
    <row r="28" spans="11:19" ht="30.75" thickBot="1" x14ac:dyDescent="0.3">
      <c r="K28" s="77"/>
      <c r="L28" s="75"/>
      <c r="M28" s="14">
        <v>5</v>
      </c>
      <c r="N28" s="61" t="s">
        <v>158</v>
      </c>
      <c r="O28" s="15" t="s">
        <v>159</v>
      </c>
      <c r="P28" s="15">
        <v>13</v>
      </c>
      <c r="Q28" s="36">
        <v>25</v>
      </c>
      <c r="R28" s="31">
        <f>I6+I5+I13+I9</f>
        <v>352</v>
      </c>
      <c r="S28" s="32">
        <f t="shared" si="0"/>
        <v>357.41666666666669</v>
      </c>
    </row>
    <row r="29" spans="11:19" ht="15.75" thickBot="1" x14ac:dyDescent="0.3">
      <c r="L29" s="11"/>
      <c r="M29" s="11"/>
      <c r="N29" s="33"/>
      <c r="O29" s="33"/>
      <c r="P29" s="40">
        <f>SUM(P20:P28)</f>
        <v>45.5</v>
      </c>
      <c r="Q29" s="33"/>
      <c r="R29" s="37">
        <f>SUM(R20:R28)</f>
        <v>434.5</v>
      </c>
      <c r="S29" s="38">
        <f>SUM(S20:S28)</f>
        <v>451.125</v>
      </c>
    </row>
  </sheetData>
  <mergeCells count="13">
    <mergeCell ref="K18:S18"/>
    <mergeCell ref="K21:K23"/>
    <mergeCell ref="L21:L23"/>
    <mergeCell ref="K24:K28"/>
    <mergeCell ref="L24:L28"/>
    <mergeCell ref="B2:I2"/>
    <mergeCell ref="G16:H16"/>
    <mergeCell ref="L3:M3"/>
    <mergeCell ref="L4:M4"/>
    <mergeCell ref="L5:M5"/>
    <mergeCell ref="L6:M6"/>
    <mergeCell ref="L7:M7"/>
    <mergeCell ref="L8:M8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1d3c6c-5060-431e-a604-10c866729759" xsi:nil="true"/>
    <lcf76f155ced4ddcb4097134ff3c332f xmlns="bc80b623-969b-4c59-97d8-7f7145a8b26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F746117F6E3443A7CB9625BB7EF932" ma:contentTypeVersion="11" ma:contentTypeDescription="Crear nuevo documento." ma:contentTypeScope="" ma:versionID="5904f45f917ae01de9d03927ff2a211e">
  <xsd:schema xmlns:xsd="http://www.w3.org/2001/XMLSchema" xmlns:xs="http://www.w3.org/2001/XMLSchema" xmlns:p="http://schemas.microsoft.com/office/2006/metadata/properties" xmlns:ns2="bc80b623-969b-4c59-97d8-7f7145a8b26a" xmlns:ns3="601d3c6c-5060-431e-a604-10c866729759" targetNamespace="http://schemas.microsoft.com/office/2006/metadata/properties" ma:root="true" ma:fieldsID="648aeabbd1559f66049900db663f37ee" ns2:_="" ns3:_="">
    <xsd:import namespace="bc80b623-969b-4c59-97d8-7f7145a8b26a"/>
    <xsd:import namespace="601d3c6c-5060-431e-a604-10c866729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0b623-969b-4c59-97d8-7f7145a8b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d3c6c-5060-431e-a604-10c8667297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8741e9-6cf7-4dc6-a4de-37a3ca55de16}" ma:internalName="TaxCatchAll" ma:showField="CatchAllData" ma:web="601d3c6c-5060-431e-a604-10c8667297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36D44B-3CEF-4D75-B0BD-B3AB9C4E7C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BBE35D-A4AB-4A03-9CDD-7AE9E2474603}">
  <ds:schemaRefs>
    <ds:schemaRef ds:uri="http://schemas.microsoft.com/office/2006/metadata/properties"/>
    <ds:schemaRef ds:uri="601d3c6c-5060-431e-a604-10c866729759"/>
    <ds:schemaRef ds:uri="http://purl.org/dc/dcmitype/"/>
    <ds:schemaRef ds:uri="bc80b623-969b-4c59-97d8-7f7145a8b26a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459D6D-5583-40BD-9386-237229DA7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Partes</vt:lpstr>
      <vt:lpstr>Procesos</vt:lpstr>
      <vt:lpstr>Timeline</vt:lpstr>
      <vt:lpstr>Final Estimate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APARICIO MARTIN</dc:creator>
  <cp:keywords/>
  <dc:description/>
  <cp:lastModifiedBy>PABLO APARICIO MARTIN</cp:lastModifiedBy>
  <cp:revision/>
  <dcterms:created xsi:type="dcterms:W3CDTF">2025-05-18T17:52:21Z</dcterms:created>
  <dcterms:modified xsi:type="dcterms:W3CDTF">2025-11-06T19:09:14Z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0x01010077F746117F6E3443A7CB9625BB7EF932</vt:lpwstr>
  </property>
  <property fmtid="{D5CDD505-2E9C-101B-9397-08002B2CF9AE}" pid="3" name="MediaServiceImageTags">
    <vt:lpwstr/>
  </property>
</Properties>
</file>